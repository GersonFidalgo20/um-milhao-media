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Orçamento" sheetId="2" state="visible" r:id="rId4"/>
    <sheet name="Equivalente milionário" sheetId="3" state="visible" r:id="rId5"/>
    <sheet name="Reserv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<sst xmlns="http://schemas.openxmlformats.org/spreadsheetml/2006/main" count="58" uniqueCount="57">
  <si>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Orçamento do Construtor</t>
  </si>
  <si>
    <t xml:space="preserve">Da Série Milionário de Gerson Fidalgo · Livro II, Pai, vou ser milionário, capítulo 5 (Guardar).</t>
  </si>
  <si>
    <t xml:space="preserve">Preenche só as células amarelas, com números a azul. Tudo o resto calcula sozinho.</t>
  </si>
  <si>
    <t xml:space="preserve">1. Separador Orçamento: escreve o que entra por mês (líquido) e escolhe a etapa. A folha divide o dinheiro antes de ele chegar.</t>
  </si>
  <si>
    <t xml:space="preserve">2. No mesmo separador, escreve as tuas despesas reais e vê se cabem nos 45 % (etapa 1) ou nos 25 % (etapa 2).</t>
  </si>
  <si>
    <t xml:space="preserve">3. Separador Equivalente milionário: escreve quanto produzes por mês e vê a que capital isso equivale.</t>
  </si>
  <si>
    <t xml:space="preserve">4. Separador Reserva: vê quantos meses de vida a tua poupança já te compra.</t>
  </si>
  <si>
    <t xml:space="preserve">A divisão (Livro II, cap. 5): 15 % Deus · 15 % investimento · 15 % poupança · 10 % para ti · 45 % despesas.</t>
  </si>
  <si>
    <t xml:space="preserve">Na segunda etapa, quando o que entra sobe, o custo de vida não sobe com ele: desce vinte pontos, e esses 20 % vão para a poupança.</t>
  </si>
  <si>
    <t xml:space="preserve">Os valores de exemplo (1.200 € por mês) são ilustrativos. Troca-os pelos teus.</t>
  </si>
  <si>
    <t xml:space="preserve">Aviso: conteúdo educativo. Não é aconselhamento financeiro. Investir tem risco de perda, incluindo a perda total do capital.</t>
  </si>
  <si>
    <t xml:space="preserve">O meu orçamento de construtor</t>
  </si>
  <si>
    <t xml:space="preserve">O que entra por mês (líquido)</t>
  </si>
  <si>
    <t xml:space="preserve">Etapa (1 = começo · 2 = quando o rendimento sobe)</t>
  </si>
  <si>
    <t xml:space="preserve">Parte</t>
  </si>
  <si>
    <t xml:space="preserve">% etapa 1</t>
  </si>
  <si>
    <t xml:space="preserve">% etapa 2</t>
  </si>
  <si>
    <t xml:space="preserve">% aplicada</t>
  </si>
  <si>
    <t xml:space="preserve">€ por mês</t>
  </si>
  <si>
    <t xml:space="preserve">€ por ano</t>
  </si>
  <si>
    <t xml:space="preserve">Deus (dar)</t>
  </si>
  <si>
    <t xml:space="preserve">Investimento</t>
  </si>
  <si>
    <t xml:space="preserve">Poupança</t>
  </si>
  <si>
    <t xml:space="preserve">Para ti</t>
  </si>
  <si>
    <t xml:space="preserve">Despesas (custo de vida)</t>
  </si>
  <si>
    <t xml:space="preserve">Total</t>
  </si>
  <si>
    <t xml:space="preserve">As percentagens de cada etapa têm de somar 100 %.</t>
  </si>
  <si>
    <t xml:space="preserve">As minhas despesas reais</t>
  </si>
  <si>
    <t xml:space="preserve">Casa (renda ou prestação)</t>
  </si>
  <si>
    <t xml:space="preserve">Alimentação</t>
  </si>
  <si>
    <t xml:space="preserve">Transportes</t>
  </si>
  <si>
    <t xml:space="preserve">Água, luz, gás</t>
  </si>
  <si>
    <t xml:space="preserve">Telemóvel e internet</t>
  </si>
  <si>
    <t xml:space="preserve">Saúde e seguros</t>
  </si>
  <si>
    <t xml:space="preserve">Educação</t>
  </si>
  <si>
    <t xml:space="preserve">Outras</t>
  </si>
  <si>
    <t xml:space="preserve">Total das despesas reais</t>
  </si>
  <si>
    <t xml:space="preserve">Limite para despesas nesta etapa</t>
  </si>
  <si>
    <t xml:space="preserve">Diferença (positivo = sobra)</t>
  </si>
  <si>
    <t xml:space="preserve">O teu equivalente milionário</t>
  </si>
  <si>
    <t xml:space="preserve">Livro I, cap. 2: ser milionário não é ter um milhão parado. É produzir o que um milhão produz.</t>
  </si>
  <si>
    <t xml:space="preserve">Quanto produzes por mês, além do salário (€)</t>
  </si>
  <si>
    <t xml:space="preserve">Rendimento anual ilustrativo de um capital parado</t>
  </si>
  <si>
    <t xml:space="preserve">Taxa usada no livro (1,2 % ao ano), só para ilustrar. Não é uma previsão nem uma recomendação.</t>
  </si>
  <si>
    <t xml:space="preserve">Capital que produziria o mesmo por mês</t>
  </si>
  <si>
    <t xml:space="preserve">Para os primeiros 1.000 € por mês, faltam</t>
  </si>
  <si>
    <t xml:space="preserve">Percurso feito até aos 1.000 € por mês</t>
  </si>
  <si>
    <t xml:space="preserve">É uma imagem, não uma igualdade: se paras de trabalhar, os teus mil param; o milhão não. É o primeiro degrau, não o topo da montanha.</t>
  </si>
  <si>
    <t xml:space="preserve">Quantos meses de liberdade já tens</t>
  </si>
  <si>
    <t xml:space="preserve">Livro II, cap. 5: a reserva serve para comprar tempo.</t>
  </si>
  <si>
    <t xml:space="preserve">Poupança acumulada hoje (€)</t>
  </si>
  <si>
    <t xml:space="preserve">Custo de vida mensal (vem do separador Orçamento)</t>
  </si>
  <si>
    <t xml:space="preserve">Poupança por mês segundo a divisão (vem do separador Orçamento)</t>
  </si>
  <si>
    <t xml:space="preserve">Meta de reserva (meses)</t>
  </si>
  <si>
    <t xml:space="preserve">Meses de vida que a reserva já paga</t>
  </si>
  <si>
    <t xml:space="preserve">Falta para a meta (€)</t>
  </si>
  <si>
    <t xml:space="preserve">Meses para lá chegar, ao ritmo da divisão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</si>
</sst>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\-#,##0.00&quot; €&quot;;\-"/>
    <numFmt numFmtId="166" formatCode="0%"/>
    <numFmt numFmtId="167" formatCode="0.0%"/>
    <numFmt numFmtId="168" formatCode="#,##0&quot; €&quot;"/>
    <numFmt numFmtId="169" formatCode="0.0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1120"/>
      <name val="Arial"/>
      <family val="0"/>
      <charset val="1"/>
    </font>
    <font>
      <sz val="10"/>
      <color rgb="FF211C16"/>
      <name val="Arial"/>
      <family val="0"/>
      <charset val="1"/>
    </font>
    <font>
      <b val="true"/>
      <sz val="10"/>
      <color rgb="FF211C16"/>
      <name val="Arial"/>
      <family val="0"/>
      <charset val="1"/>
    </font>
    <font>
      <sz val="9"/>
      <color rgb="FF211C16"/>
      <name val="Arial"/>
      <family val="0"/>
      <charset val="1"/>
    </font>
    <font>
      <b val="true"/>
      <sz val="14"/>
      <color rgb="FF5A112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211C16"/>
      <name val="Arial"/>
      <family val="0"/>
      <charset val="1"/>
    </font>
    <font>
      <b val="true"/>
      <sz val="9"/>
      <color rgb="FF211C16"/>
      <name val="Arial"/>
      <family val="0"/>
      <charset val="1"/>
    </font>
    <font>
      <b val="true"/>
      <sz val="10"/>
      <color rgb="FF5A1120"/>
      <name val="Arial"/>
      <family val="0"/>
      <charset val="1"/>
    </font>
    <font>
      <b val="true"/>
      <sz val="12"/>
      <color rgb="FF5A112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11C1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5A11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1C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5" t="s">
        <v>11</v>
      </c>
    </row>
    <row r="3" customFormat="false" ht="15" hidden="false" customHeight="false" outlineLevel="0" collapsed="false">
      <c r="A3" s="6" t="s">
        <v>12</v>
      </c>
      <c r="C3" s="7" t="n">
        <v>1200</v>
      </c>
    </row>
    <row r="4" customFormat="false" ht="15" hidden="false" customHeight="false" outlineLevel="0" collapsed="false">
      <c r="A4" s="6" t="s">
        <v>13</v>
      </c>
      <c r="C4" s="8" t="n">
        <v>1</v>
      </c>
    </row>
    <row r="6" customFormat="false" ht="15" hidden="false" customHeight="false" outlineLevel="0" collapsed="false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</row>
    <row r="7" customFormat="false" ht="15" hidden="false" customHeight="false" outlineLevel="0" collapsed="false">
      <c r="A7" s="10" t="s">
        <v>20</v>
      </c>
      <c r="B7" s="11" t="n">
        <v>0.15</v>
      </c>
      <c r="C7" s="11" t="n">
        <v>0.15</v>
      </c>
      <c r="D7" s="12" t="n">
        <f aca="false">IF($C$4=2,C7,B7)</f>
        <v>0.15</v>
      </c>
      <c r="E7" s="13" t="n">
        <f aca="false">$C$3*D7</f>
        <v>180</v>
      </c>
      <c r="F7" s="14" t="n">
        <f aca="false">E7*12</f>
        <v>2160</v>
      </c>
    </row>
    <row r="8" customFormat="false" ht="15" hidden="false" customHeight="false" outlineLevel="0" collapsed="false">
      <c r="A8" s="10" t="s">
        <v>21</v>
      </c>
      <c r="B8" s="11" t="n">
        <v>0.15</v>
      </c>
      <c r="C8" s="11" t="n">
        <v>0.15</v>
      </c>
      <c r="D8" s="12" t="n">
        <f aca="false">IF($C$4=2,C8,B8)</f>
        <v>0.15</v>
      </c>
      <c r="E8" s="13" t="n">
        <f aca="false">$C$3*D8</f>
        <v>180</v>
      </c>
      <c r="F8" s="14" t="n">
        <f aca="false">E8*12</f>
        <v>2160</v>
      </c>
    </row>
    <row r="9" customFormat="false" ht="15" hidden="false" customHeight="false" outlineLevel="0" collapsed="false">
      <c r="A9" s="10" t="s">
        <v>22</v>
      </c>
      <c r="B9" s="11" t="n">
        <v>0.15</v>
      </c>
      <c r="C9" s="11" t="n">
        <v>0.35</v>
      </c>
      <c r="D9" s="12" t="n">
        <f aca="false">IF($C$4=2,C9,B9)</f>
        <v>0.15</v>
      </c>
      <c r="E9" s="13" t="n">
        <f aca="false">$C$3*D9</f>
        <v>180</v>
      </c>
      <c r="F9" s="14" t="n">
        <f aca="false">E9*12</f>
        <v>2160</v>
      </c>
    </row>
    <row r="10" customFormat="false" ht="15" hidden="false" customHeight="false" outlineLevel="0" collapsed="false">
      <c r="A10" s="10" t="s">
        <v>23</v>
      </c>
      <c r="B10" s="11" t="n">
        <v>0.1</v>
      </c>
      <c r="C10" s="11" t="n">
        <v>0.1</v>
      </c>
      <c r="D10" s="12" t="n">
        <f aca="false">IF($C$4=2,C10,B10)</f>
        <v>0.1</v>
      </c>
      <c r="E10" s="13" t="n">
        <f aca="false">$C$3*D10</f>
        <v>120</v>
      </c>
      <c r="F10" s="14" t="n">
        <f aca="false">E10*12</f>
        <v>1440</v>
      </c>
    </row>
    <row r="11" customFormat="false" ht="15" hidden="false" customHeight="false" outlineLevel="0" collapsed="false">
      <c r="A11" s="10" t="s">
        <v>24</v>
      </c>
      <c r="B11" s="11" t="n">
        <v>0.45</v>
      </c>
      <c r="C11" s="11" t="n">
        <v>0.25</v>
      </c>
      <c r="D11" s="12" t="n">
        <f aca="false">IF($C$4=2,C11,B11)</f>
        <v>0.45</v>
      </c>
      <c r="E11" s="13" t="n">
        <f aca="false">$C$3*D11</f>
        <v>540</v>
      </c>
      <c r="F11" s="14" t="n">
        <f aca="false">E11*12</f>
        <v>6480</v>
      </c>
    </row>
    <row r="12" customFormat="false" ht="15" hidden="false" customHeight="false" outlineLevel="0" collapsed="false">
      <c r="A12" s="6" t="s">
        <v>25</v>
      </c>
      <c r="B12" s="15" t="n">
        <f aca="false">SUM(B7:B11)</f>
        <v>1</v>
      </c>
      <c r="C12" s="15" t="n">
        <f aca="false">SUM(C7:C11)</f>
        <v>1</v>
      </c>
      <c r="D12" s="15" t="n">
        <f aca="false">SUM(D7:D11)</f>
        <v>1</v>
      </c>
      <c r="E12" s="13" t="n">
        <f aca="false">SUM(E7:E11)</f>
        <v>1200</v>
      </c>
      <c r="F12" s="13" t="n">
        <f aca="false">SUM(F7:F11)</f>
        <v>14400</v>
      </c>
    </row>
    <row r="13" customFormat="false" ht="15" hidden="false" customHeight="false" outlineLevel="0" collapsed="false">
      <c r="A13" s="16" t="s">
        <v>26</v>
      </c>
      <c r="D13" s="17" t="str">
        <f aca="false">IF(ROUND(B12,4)&lt;&gt;1,"Etapa 1 não soma 100 %",IF(ROUND(C12,4)&lt;&gt;1,"Etapa 2 não soma 100 %","Certo"))</f>
        <v>Certo</v>
      </c>
    </row>
    <row r="15" customFormat="false" ht="15" hidden="false" customHeight="false" outlineLevel="0" collapsed="false">
      <c r="A15" s="9" t="s">
        <v>27</v>
      </c>
      <c r="B15" s="9" t="s">
        <v>18</v>
      </c>
    </row>
    <row r="16" customFormat="false" ht="15" hidden="false" customHeight="false" outlineLevel="0" collapsed="false">
      <c r="A16" s="10" t="s">
        <v>28</v>
      </c>
      <c r="B16" s="7" t="n">
        <v>400</v>
      </c>
    </row>
    <row r="17" customFormat="false" ht="15" hidden="false" customHeight="false" outlineLevel="0" collapsed="false">
      <c r="A17" s="10" t="s">
        <v>29</v>
      </c>
      <c r="B17" s="7" t="n">
        <v>150</v>
      </c>
    </row>
    <row r="18" customFormat="false" ht="15" hidden="false" customHeight="false" outlineLevel="0" collapsed="false">
      <c r="A18" s="10" t="s">
        <v>30</v>
      </c>
      <c r="B18" s="7" t="n">
        <v>60</v>
      </c>
    </row>
    <row r="19" customFormat="false" ht="15" hidden="false" customHeight="false" outlineLevel="0" collapsed="false">
      <c r="A19" s="10" t="s">
        <v>31</v>
      </c>
      <c r="B19" s="7" t="n">
        <v>40</v>
      </c>
    </row>
    <row r="20" customFormat="false" ht="15" hidden="false" customHeight="false" outlineLevel="0" collapsed="false">
      <c r="A20" s="10" t="s">
        <v>32</v>
      </c>
      <c r="B20" s="7" t="n">
        <v>25</v>
      </c>
    </row>
    <row r="21" customFormat="false" ht="15" hidden="false" customHeight="false" outlineLevel="0" collapsed="false">
      <c r="A21" s="10" t="s">
        <v>33</v>
      </c>
      <c r="B21" s="7" t="n">
        <v>25</v>
      </c>
    </row>
    <row r="22" customFormat="false" ht="15" hidden="false" customHeight="false" outlineLevel="0" collapsed="false">
      <c r="A22" s="10" t="s">
        <v>34</v>
      </c>
      <c r="B22" s="7" t="n">
        <v>0</v>
      </c>
    </row>
    <row r="23" customFormat="false" ht="15" hidden="false" customHeight="false" outlineLevel="0" collapsed="false">
      <c r="A23" s="10" t="s">
        <v>35</v>
      </c>
      <c r="B23" s="7" t="n">
        <v>0</v>
      </c>
    </row>
    <row r="24" customFormat="false" ht="15" hidden="false" customHeight="false" outlineLevel="0" collapsed="false">
      <c r="A24" s="6" t="s">
        <v>36</v>
      </c>
      <c r="B24" s="13" t="n">
        <f aca="false">SUM(B16:B23)</f>
        <v>700</v>
      </c>
    </row>
    <row r="25" customFormat="false" ht="15" hidden="false" customHeight="false" outlineLevel="0" collapsed="false">
      <c r="A25" s="6" t="s">
        <v>37</v>
      </c>
      <c r="B25" s="13" t="n">
        <f aca="false">E11</f>
        <v>540</v>
      </c>
    </row>
    <row r="26" customFormat="false" ht="15" hidden="false" customHeight="false" outlineLevel="0" collapsed="false">
      <c r="A26" s="6" t="s">
        <v>38</v>
      </c>
      <c r="B26" s="13" t="n">
        <f aca="false">B25-B24</f>
        <v>-160</v>
      </c>
    </row>
    <row r="27" customFormat="false" ht="30" hidden="false" customHeight="true" outlineLevel="0" collapsed="false">
      <c r="A27" s="18" t="str">
        <f aca="false">IF(B26&gt;=0,"As tuas despesas cabem na divisão. Sobra para reforçar a poupança.","As tuas despesas passam o limite. Primeiro passo: copiar a lógica, decidir a divisão antes de o dinheiro chegar, e baixar uma despesa por mês.")</f>
        <v>As tuas despesas passam o limite. Primeiro passo: copiar a lógica, decidir a divisão antes de o dinheiro chegar, e baixar uma despesa por mês.</v>
      </c>
      <c r="B27" s="18"/>
      <c r="C27" s="18"/>
      <c r="D27" s="18"/>
      <c r="E27" s="18"/>
      <c r="F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</row>
  </sheetData>
  <mergeCells count="1">
    <mergeCell ref="A27:F28"/>
  </mergeCells>
  <conditionalFormatting sqref="B26">
    <cfRule type="expression" priority="2" aboveAverage="0" equalAverage="0" bottom="0" percent="0" rank="0" text="" dxfId="0">
      <formula>B26&lt;0</formula>
    </cfRule>
  </conditionalFormatting>
  <dataValidations count="1">
    <dataValidation allowBlank="false" errorStyle="stop" operator="between" showDropDown="false" showErrorMessage="false" showInputMessage="false" sqref="C4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5" t="s">
        <v>39</v>
      </c>
    </row>
    <row r="2" customFormat="false" ht="15" hidden="false" customHeight="false" outlineLevel="0" collapsed="false">
      <c r="A2" s="16" t="s">
        <v>40</v>
      </c>
    </row>
    <row r="4" customFormat="false" ht="15" hidden="false" customHeight="false" outlineLevel="0" collapsed="false">
      <c r="A4" s="6" t="s">
        <v>41</v>
      </c>
      <c r="C4" s="7" t="n">
        <v>300</v>
      </c>
    </row>
    <row r="5" customFormat="false" ht="15" hidden="false" customHeight="false" outlineLevel="0" collapsed="false">
      <c r="A5" s="6" t="s">
        <v>42</v>
      </c>
      <c r="C5" s="19" t="n">
        <v>0.012</v>
      </c>
    </row>
    <row r="6" customFormat="false" ht="15" hidden="false" customHeight="false" outlineLevel="0" collapsed="false">
      <c r="A6" s="16" t="s">
        <v>43</v>
      </c>
    </row>
    <row r="8" customFormat="false" ht="15" hidden="false" customHeight="false" outlineLevel="0" collapsed="false">
      <c r="A8" s="6" t="s">
        <v>44</v>
      </c>
      <c r="C8" s="20" t="n">
        <f aca="false">IFERROR(C4*12/C5,0)</f>
        <v>300000</v>
      </c>
    </row>
    <row r="9" customFormat="false" ht="15" hidden="false" customHeight="false" outlineLevel="0" collapsed="false">
      <c r="A9" s="6" t="s">
        <v>45</v>
      </c>
      <c r="C9" s="13" t="n">
        <f aca="false">MAX(0,1000-C4)</f>
        <v>700</v>
      </c>
    </row>
    <row r="10" customFormat="false" ht="15" hidden="false" customHeight="false" outlineLevel="0" collapsed="false">
      <c r="A10" s="6" t="s">
        <v>46</v>
      </c>
      <c r="C10" s="15" t="n">
        <f aca="false">MIN(1,C4/1000)</f>
        <v>0.3</v>
      </c>
    </row>
    <row r="12" customFormat="false" ht="15" hidden="false" customHeight="true" outlineLevel="0" collapsed="false">
      <c r="A12" s="21" t="s">
        <v>47</v>
      </c>
      <c r="B12" s="21"/>
      <c r="C12" s="21"/>
      <c r="D12" s="21"/>
    </row>
    <row r="13" customFormat="false" ht="15" hidden="false" customHeight="false" outlineLevel="0" collapsed="false">
      <c r="A13" s="21"/>
      <c r="B13" s="21"/>
      <c r="C13" s="21"/>
      <c r="D13" s="21"/>
    </row>
  </sheetData>
  <mergeCells count="1">
    <mergeCell ref="A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5" t="s">
        <v>48</v>
      </c>
    </row>
    <row r="2" customFormat="false" ht="15" hidden="false" customHeight="false" outlineLevel="0" collapsed="false">
      <c r="A2" s="16" t="s">
        <v>49</v>
      </c>
    </row>
    <row r="4" customFormat="false" ht="15" hidden="false" customHeight="false" outlineLevel="0" collapsed="false">
      <c r="A4" s="6" t="s">
        <v>50</v>
      </c>
      <c r="C4" s="7" t="n">
        <v>1500</v>
      </c>
    </row>
    <row r="5" customFormat="false" ht="15" hidden="false" customHeight="false" outlineLevel="0" collapsed="false">
      <c r="A5" s="6" t="s">
        <v>51</v>
      </c>
      <c r="C5" s="22" t="n">
        <f aca="false">Orçamento!B24</f>
        <v>700</v>
      </c>
    </row>
    <row r="6" customFormat="false" ht="15" hidden="false" customHeight="false" outlineLevel="0" collapsed="false">
      <c r="A6" s="6" t="s">
        <v>52</v>
      </c>
      <c r="C6" s="22" t="n">
        <f aca="false">Orçamento!E9</f>
        <v>180</v>
      </c>
    </row>
    <row r="7" customFormat="false" ht="15" hidden="false" customHeight="false" outlineLevel="0" collapsed="false">
      <c r="A7" s="6" t="s">
        <v>53</v>
      </c>
      <c r="C7" s="8" t="n">
        <v>6</v>
      </c>
    </row>
    <row r="9" customFormat="false" ht="15" hidden="false" customHeight="false" outlineLevel="0" collapsed="false">
      <c r="A9" s="6" t="s">
        <v>54</v>
      </c>
      <c r="C9" s="23" t="n">
        <f aca="false">IFERROR(C4/C5,0)</f>
        <v>2.14285714285714</v>
      </c>
    </row>
    <row r="10" customFormat="false" ht="15" hidden="false" customHeight="false" outlineLevel="0" collapsed="false">
      <c r="A10" s="6" t="s">
        <v>55</v>
      </c>
      <c r="C10" s="13" t="n">
        <f aca="false">MAX(0,C7*C5-C4)</f>
        <v>2700</v>
      </c>
    </row>
    <row r="11" customFormat="false" ht="15" hidden="false" customHeight="false" outlineLevel="0" collapsed="false">
      <c r="A11" s="6" t="s">
        <v>56</v>
      </c>
      <c r="C11" s="24" t="n">
        <f aca="false">IFERROR(ROUNDUP(C10/C6,0),0)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2026-10-21T14:42:25Z</dcterms:created>
  <dc:creator>openpyxl</dc:creator>
  <dc:description/>
  <dc:language>en-US</dc:language>
  <cp:lastModifiedBy/>
  <dcterms:modified xsi:type="dcterms:W3CDTF">2026-10-21T14:42:25Z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